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te\Desktop\"/>
    </mc:Choice>
  </mc:AlternateContent>
  <xr:revisionPtr revIDLastSave="0" documentId="13_ncr:1_{A56E5058-10DE-4AEE-9E72-FA2E9E29D1E5}" xr6:coauthVersionLast="47" xr6:coauthVersionMax="47" xr10:uidLastSave="{00000000-0000-0000-0000-000000000000}"/>
  <bookViews>
    <workbookView xWindow="-120" yWindow="-120" windowWidth="20730" windowHeight="11160" activeTab="3" xr2:uid="{7F4D61D2-EDEF-462D-94E2-2A062248FF1E}"/>
  </bookViews>
  <sheets>
    <sheet name="BRIOCHE C20" sheetId="1" r:id="rId1"/>
    <sheet name="FORMA D10" sheetId="2" r:id="rId2"/>
    <sheet name="BATATA C50" sheetId="3" r:id="rId3"/>
    <sheet name="TOP MACIO C50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3" l="1"/>
  <c r="C22" i="3" s="1"/>
  <c r="B21" i="3"/>
  <c r="C21" i="3" s="1"/>
  <c r="B20" i="3"/>
  <c r="C20" i="3" s="1"/>
  <c r="B19" i="3"/>
  <c r="C19" i="3" s="1"/>
  <c r="B18" i="3"/>
  <c r="C18" i="3" s="1"/>
  <c r="B17" i="3"/>
  <c r="C17" i="3" s="1"/>
  <c r="C17" i="2"/>
  <c r="C18" i="2"/>
  <c r="C19" i="2"/>
  <c r="B17" i="2"/>
  <c r="B18" i="2"/>
  <c r="C14" i="4"/>
  <c r="B14" i="4"/>
  <c r="D13" i="4"/>
  <c r="D12" i="4"/>
  <c r="D11" i="4"/>
  <c r="D10" i="4"/>
  <c r="D9" i="4"/>
  <c r="D8" i="4"/>
  <c r="D7" i="4"/>
  <c r="D6" i="4"/>
  <c r="D5" i="4"/>
  <c r="D4" i="4"/>
  <c r="D3" i="4"/>
  <c r="D14" i="4" s="1"/>
  <c r="C14" i="3"/>
  <c r="B14" i="3"/>
  <c r="D13" i="3"/>
  <c r="D12" i="3"/>
  <c r="D11" i="3"/>
  <c r="D10" i="3"/>
  <c r="D9" i="3"/>
  <c r="D8" i="3"/>
  <c r="D7" i="3"/>
  <c r="D6" i="3"/>
  <c r="D5" i="3"/>
  <c r="D4" i="3"/>
  <c r="D3" i="3"/>
  <c r="D14" i="3" s="1"/>
  <c r="E5" i="2"/>
  <c r="E12" i="2"/>
  <c r="E11" i="2"/>
  <c r="E10" i="2"/>
  <c r="E9" i="2"/>
  <c r="E8" i="2"/>
  <c r="E7" i="2"/>
  <c r="E6" i="2"/>
  <c r="E4" i="2"/>
  <c r="E3" i="2"/>
  <c r="E13" i="2"/>
  <c r="E14" i="1"/>
  <c r="E4" i="1"/>
  <c r="E5" i="1"/>
  <c r="E6" i="1"/>
  <c r="E7" i="1"/>
  <c r="E8" i="1"/>
  <c r="E9" i="1"/>
  <c r="E10" i="1"/>
  <c r="E11" i="1"/>
  <c r="E12" i="1"/>
  <c r="E13" i="1"/>
  <c r="E3" i="1"/>
  <c r="C14" i="2"/>
  <c r="B14" i="2"/>
  <c r="D13" i="2"/>
  <c r="D12" i="2"/>
  <c r="D11" i="2"/>
  <c r="D10" i="2"/>
  <c r="D9" i="2"/>
  <c r="D8" i="2"/>
  <c r="D7" i="2"/>
  <c r="D6" i="2"/>
  <c r="D5" i="2"/>
  <c r="D4" i="2"/>
  <c r="D3" i="2"/>
  <c r="D14" i="2" s="1"/>
  <c r="C15" i="1"/>
  <c r="B15" i="1"/>
  <c r="D14" i="1"/>
  <c r="D13" i="1"/>
  <c r="D12" i="1"/>
  <c r="D11" i="1"/>
  <c r="D10" i="1"/>
  <c r="D9" i="1"/>
  <c r="D8" i="1"/>
  <c r="D7" i="1"/>
  <c r="D6" i="1"/>
  <c r="D5" i="1"/>
  <c r="D4" i="1"/>
  <c r="D3" i="1"/>
  <c r="D15" i="1" s="1"/>
  <c r="B22" i="4" l="1"/>
  <c r="C22" i="4" s="1"/>
  <c r="B21" i="4"/>
  <c r="C21" i="4" s="1"/>
  <c r="B20" i="4"/>
  <c r="C20" i="4" s="1"/>
  <c r="B19" i="4"/>
  <c r="C19" i="4" s="1"/>
  <c r="B18" i="4"/>
  <c r="C18" i="4" s="1"/>
  <c r="B17" i="4"/>
  <c r="C17" i="4" s="1"/>
  <c r="B15" i="4"/>
  <c r="B15" i="3"/>
  <c r="B22" i="2"/>
  <c r="B21" i="2"/>
  <c r="B20" i="2"/>
  <c r="B19" i="2"/>
  <c r="B15" i="2"/>
  <c r="C20" i="2"/>
  <c r="C21" i="2"/>
  <c r="C22" i="2"/>
  <c r="B21" i="1"/>
  <c r="B20" i="1"/>
  <c r="B19" i="1"/>
  <c r="B18" i="1"/>
  <c r="B16" i="1"/>
  <c r="C18" i="1"/>
  <c r="C19" i="1"/>
  <c r="C20" i="1"/>
  <c r="C21" i="1"/>
</calcChain>
</file>

<file path=xl/sharedStrings.xml><?xml version="1.0" encoding="utf-8"?>
<sst xmlns="http://schemas.openxmlformats.org/spreadsheetml/2006/main" count="81" uniqueCount="26">
  <si>
    <t>INGREDIENTES</t>
  </si>
  <si>
    <t>kg</t>
  </si>
  <si>
    <t>VALOR</t>
  </si>
  <si>
    <t>TOTAL</t>
  </si>
  <si>
    <t>FARINHA</t>
  </si>
  <si>
    <t>SAL</t>
  </si>
  <si>
    <t>IDEAL FROST/MELHORADOR</t>
  </si>
  <si>
    <t>AÇUCAR</t>
  </si>
  <si>
    <t>MARGARINA</t>
  </si>
  <si>
    <t>PROPIONATO DE CALCIO</t>
  </si>
  <si>
    <t>OVO</t>
  </si>
  <si>
    <t>GORDURA</t>
  </si>
  <si>
    <t>AGUA GELADA</t>
  </si>
  <si>
    <t>Media Kg</t>
  </si>
  <si>
    <t>REND. DOS PÃES EM GRAMAS</t>
  </si>
  <si>
    <t>QUANTIDADE</t>
  </si>
  <si>
    <t xml:space="preserve">CUSTO </t>
  </si>
  <si>
    <t>BRIOCHE C20</t>
  </si>
  <si>
    <t>IDEAL FROST</t>
  </si>
  <si>
    <t>FERMENTO FRESCO</t>
  </si>
  <si>
    <t>FORMA D10 - MASSA DOCE</t>
  </si>
  <si>
    <t>PÃO DE BATATA C50</t>
  </si>
  <si>
    <t>BATATA</t>
  </si>
  <si>
    <t>GORDURA/OLEO</t>
  </si>
  <si>
    <t>FERMENTO</t>
  </si>
  <si>
    <t>TOP MACIO 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</si>
</sst>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  <numFmt numFmtId="165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3" fontId="0" fillId="0" borderId="1" xfId="1" applyFont="1" applyBorder="1"/>
    <xf numFmtId="0" fontId="3" fillId="0" borderId="1" xfId="0" applyFont="1" applyBorder="1" applyAlignment="1">
      <alignment horizontal="center" vertical="center"/>
    </xf>
    <xf numFmtId="43" fontId="3" fillId="0" borderId="1" xfId="0" applyNumberFormat="1" applyFont="1" applyBorder="1" applyAlignment="1">
      <alignment vertic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1" xfId="0" applyBorder="1"/>
    <xf numFmtId="9" fontId="0" fillId="0" borderId="12" xfId="2" applyFont="1" applyBorder="1" applyAlignment="1">
      <alignment vertical="center"/>
    </xf>
    <xf numFmtId="10" fontId="0" fillId="0" borderId="12" xfId="2" applyNumberFormat="1" applyFont="1" applyBorder="1" applyAlignment="1">
      <alignment vertical="center"/>
    </xf>
    <xf numFmtId="0" fontId="0" fillId="0" borderId="13" xfId="0" applyBorder="1"/>
    <xf numFmtId="0" fontId="4" fillId="2" borderId="11" xfId="0" applyFont="1" applyFill="1" applyBorder="1"/>
    <xf numFmtId="0" fontId="5" fillId="0" borderId="11" xfId="0" applyFont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 vertical="center"/>
    </xf>
    <xf numFmtId="165" fontId="0" fillId="2" borderId="15" xfId="0" applyNumberForma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2" borderId="11" xfId="0" applyFill="1" applyBorder="1" applyAlignment="1">
      <alignment horizontal="center"/>
    </xf>
    <xf numFmtId="9" fontId="0" fillId="4" borderId="12" xfId="0" applyNumberFormat="1" applyFill="1" applyBorder="1" applyAlignment="1">
      <alignment horizontal="center" vertical="center"/>
    </xf>
    <xf numFmtId="9" fontId="0" fillId="0" borderId="12" xfId="2" applyFont="1" applyBorder="1"/>
    <xf numFmtId="0" fontId="4" fillId="2" borderId="21" xfId="0" applyFont="1" applyFill="1" applyBorder="1"/>
    <xf numFmtId="0" fontId="5" fillId="6" borderId="11" xfId="0" applyFont="1" applyFill="1" applyBorder="1" applyAlignment="1">
      <alignment horizontal="center"/>
    </xf>
    <xf numFmtId="1" fontId="0" fillId="6" borderId="15" xfId="0" applyNumberForma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15" xfId="0" applyNumberFormat="1" applyFill="1" applyBorder="1" applyAlignment="1">
      <alignment horizontal="center" vertical="center"/>
    </xf>
    <xf numFmtId="164" fontId="0" fillId="4" borderId="11" xfId="0" applyNumberFormat="1" applyFont="1" applyFill="1" applyBorder="1" applyAlignment="1">
      <alignment horizontal="center"/>
    </xf>
    <xf numFmtId="164" fontId="0" fillId="4" borderId="11" xfId="0" applyNumberForma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43" fontId="3" fillId="4" borderId="2" xfId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11" xfId="0" applyFont="1" applyFill="1" applyBorder="1"/>
    <xf numFmtId="0" fontId="0" fillId="0" borderId="0" xfId="0" applyAlignment="1">
      <alignment horizontal="left" vertical="center"/>
    </xf>
    <xf numFmtId="165" fontId="0" fillId="4" borderId="1" xfId="3" applyNumberFormat="1" applyFont="1" applyFill="1" applyBorder="1" applyAlignment="1">
      <alignment horizontal="center" vertical="center"/>
    </xf>
    <xf numFmtId="0" fontId="0" fillId="0" borderId="0" xfId="0" applyBorder="1"/>
    <xf numFmtId="165" fontId="0" fillId="0" borderId="1" xfId="1" applyNumberFormat="1" applyFont="1" applyBorder="1" applyAlignment="1">
      <alignment horizontal="left" vertical="center"/>
    </xf>
    <xf numFmtId="165" fontId="0" fillId="0" borderId="1" xfId="1" applyNumberFormat="1" applyFont="1" applyBorder="1" applyAlignment="1">
      <alignment horizontal="left"/>
    </xf>
    <xf numFmtId="9" fontId="0" fillId="0" borderId="12" xfId="2" applyFont="1" applyBorder="1" applyAlignment="1">
      <alignment horizontal="left" vertical="center"/>
    </xf>
    <xf numFmtId="10" fontId="0" fillId="0" borderId="12" xfId="2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18F4-96A1-4E58-835C-8EA5BB673CEE}">
  <dimension ref="A1:I21"/>
  <sheetViews>
    <sheetView workbookViewId="0">
      <selection activeCell="I14" sqref="I14"/>
    </sheetView>
  </sheetViews>
  <sheetFormatPr defaultRowHeight="15" x14ac:dyDescent="0.25"/>
  <cols>
    <col min="1" max="1" width="26" bestFit="1" customWidth="1"/>
    <col min="2" max="2" width="12.85546875" bestFit="1" customWidth="1"/>
    <col min="3" max="4" width="11.5703125" bestFit="1" customWidth="1"/>
  </cols>
  <sheetData>
    <row r="1" spans="1:9" ht="21" x14ac:dyDescent="0.35">
      <c r="A1" s="44" t="s">
        <v>17</v>
      </c>
      <c r="B1" s="45"/>
      <c r="C1" s="45"/>
      <c r="D1" s="45"/>
      <c r="E1" s="46"/>
    </row>
    <row r="2" spans="1:9" x14ac:dyDescent="0.25">
      <c r="A2" s="29" t="s">
        <v>0</v>
      </c>
      <c r="B2" s="9" t="s">
        <v>1</v>
      </c>
      <c r="C2" s="9" t="s">
        <v>2</v>
      </c>
      <c r="D2" s="9" t="s">
        <v>3</v>
      </c>
      <c r="E2" s="30"/>
    </row>
    <row r="3" spans="1:9" x14ac:dyDescent="0.25">
      <c r="A3" s="17" t="s">
        <v>4</v>
      </c>
      <c r="B3" s="11">
        <v>25</v>
      </c>
      <c r="C3" s="3">
        <v>2.6</v>
      </c>
      <c r="D3" s="3">
        <f>(B3*C3)</f>
        <v>65</v>
      </c>
      <c r="E3" s="18">
        <f t="shared" ref="E3:E14" si="0">(B3/2500)*100</f>
        <v>1</v>
      </c>
    </row>
    <row r="4" spans="1:9" x14ac:dyDescent="0.25">
      <c r="A4" s="17" t="s">
        <v>17</v>
      </c>
      <c r="B4" s="11">
        <v>2.5</v>
      </c>
      <c r="C4" s="3">
        <v>51</v>
      </c>
      <c r="D4" s="3">
        <f t="shared" ref="D4:D14" si="1">(B4*C4)</f>
        <v>127.5</v>
      </c>
      <c r="E4" s="18">
        <f t="shared" si="0"/>
        <v>0.1</v>
      </c>
    </row>
    <row r="5" spans="1:9" x14ac:dyDescent="0.25">
      <c r="A5" s="17" t="s">
        <v>5</v>
      </c>
      <c r="B5" s="11">
        <v>0</v>
      </c>
      <c r="C5" s="3">
        <v>0</v>
      </c>
      <c r="D5" s="3">
        <f t="shared" si="1"/>
        <v>0</v>
      </c>
      <c r="E5" s="18">
        <f t="shared" si="0"/>
        <v>0</v>
      </c>
    </row>
    <row r="6" spans="1:9" x14ac:dyDescent="0.25">
      <c r="A6" s="17" t="s">
        <v>18</v>
      </c>
      <c r="B6" s="11">
        <v>0.05</v>
      </c>
      <c r="C6" s="3">
        <v>65.099999999999994</v>
      </c>
      <c r="D6" s="3">
        <f t="shared" si="1"/>
        <v>3.2549999999999999</v>
      </c>
      <c r="E6" s="19">
        <f t="shared" si="0"/>
        <v>2E-3</v>
      </c>
      <c r="I6" s="10"/>
    </row>
    <row r="7" spans="1:9" x14ac:dyDescent="0.25">
      <c r="A7" s="17" t="s">
        <v>7</v>
      </c>
      <c r="B7" s="11">
        <v>2.5</v>
      </c>
      <c r="C7" s="3">
        <v>2</v>
      </c>
      <c r="D7" s="3">
        <f t="shared" si="1"/>
        <v>5</v>
      </c>
      <c r="E7" s="18">
        <f t="shared" si="0"/>
        <v>0.1</v>
      </c>
    </row>
    <row r="8" spans="1:9" x14ac:dyDescent="0.25">
      <c r="A8" s="17" t="s">
        <v>11</v>
      </c>
      <c r="B8" s="11">
        <v>1</v>
      </c>
      <c r="C8" s="3">
        <v>4</v>
      </c>
      <c r="D8" s="3">
        <f t="shared" si="1"/>
        <v>4</v>
      </c>
      <c r="E8" s="18">
        <f t="shared" si="0"/>
        <v>0.04</v>
      </c>
    </row>
    <row r="9" spans="1:9" x14ac:dyDescent="0.25">
      <c r="A9" s="17" t="s">
        <v>9</v>
      </c>
      <c r="B9" s="12">
        <v>0</v>
      </c>
      <c r="C9" s="3">
        <v>0</v>
      </c>
      <c r="D9" s="3">
        <f t="shared" si="1"/>
        <v>0</v>
      </c>
      <c r="E9" s="18">
        <f t="shared" si="0"/>
        <v>0</v>
      </c>
    </row>
    <row r="10" spans="1:9" x14ac:dyDescent="0.25">
      <c r="A10" s="17" t="s">
        <v>5</v>
      </c>
      <c r="B10" s="12">
        <v>0</v>
      </c>
      <c r="C10" s="3">
        <v>0</v>
      </c>
      <c r="D10" s="3">
        <f t="shared" si="1"/>
        <v>0</v>
      </c>
      <c r="E10" s="18">
        <f t="shared" si="0"/>
        <v>0</v>
      </c>
    </row>
    <row r="11" spans="1:9" x14ac:dyDescent="0.25">
      <c r="A11" s="17" t="s">
        <v>10</v>
      </c>
      <c r="B11" s="11">
        <v>1.5</v>
      </c>
      <c r="C11" s="3">
        <v>8.5</v>
      </c>
      <c r="D11" s="3">
        <f t="shared" si="1"/>
        <v>12.75</v>
      </c>
      <c r="E11" s="18">
        <f t="shared" si="0"/>
        <v>0.06</v>
      </c>
    </row>
    <row r="12" spans="1:9" x14ac:dyDescent="0.25">
      <c r="A12" s="17" t="s">
        <v>8</v>
      </c>
      <c r="B12" s="12">
        <v>0</v>
      </c>
      <c r="C12" s="3">
        <v>0</v>
      </c>
      <c r="D12" s="3">
        <f t="shared" si="1"/>
        <v>0</v>
      </c>
      <c r="E12" s="18">
        <f t="shared" si="0"/>
        <v>0</v>
      </c>
    </row>
    <row r="13" spans="1:9" x14ac:dyDescent="0.25">
      <c r="A13" s="17" t="s">
        <v>19</v>
      </c>
      <c r="B13" s="11">
        <v>1.5</v>
      </c>
      <c r="C13" s="3">
        <v>14</v>
      </c>
      <c r="D13" s="3">
        <f t="shared" si="1"/>
        <v>21</v>
      </c>
      <c r="E13" s="18">
        <f t="shared" si="0"/>
        <v>0.06</v>
      </c>
    </row>
    <row r="14" spans="1:9" x14ac:dyDescent="0.25">
      <c r="A14" s="17" t="s">
        <v>12</v>
      </c>
      <c r="B14" s="11">
        <v>15</v>
      </c>
      <c r="C14" s="3">
        <v>0</v>
      </c>
      <c r="D14" s="3">
        <f t="shared" si="1"/>
        <v>0</v>
      </c>
      <c r="E14" s="18">
        <f t="shared" si="0"/>
        <v>0.6</v>
      </c>
    </row>
    <row r="15" spans="1:9" ht="21" x14ac:dyDescent="0.25">
      <c r="A15" s="17"/>
      <c r="B15" s="13">
        <f>SUM(B3:B14)</f>
        <v>49.05</v>
      </c>
      <c r="C15" s="5">
        <f>SUM(C3:C14)</f>
        <v>147.19999999999999</v>
      </c>
      <c r="D15" s="5">
        <f>SUM(D3:D14)</f>
        <v>238.505</v>
      </c>
      <c r="E15" s="31"/>
    </row>
    <row r="16" spans="1:9" ht="21" x14ac:dyDescent="0.3">
      <c r="A16" s="32" t="s">
        <v>13</v>
      </c>
      <c r="B16" s="41">
        <f>(D15/B15)</f>
        <v>4.8624872579001019</v>
      </c>
      <c r="C16" s="42"/>
      <c r="D16" s="43"/>
      <c r="E16" s="20"/>
    </row>
    <row r="17" spans="1:5" x14ac:dyDescent="0.25">
      <c r="A17" s="33" t="s">
        <v>14</v>
      </c>
      <c r="B17" s="12" t="s">
        <v>15</v>
      </c>
      <c r="C17" s="12" t="s">
        <v>16</v>
      </c>
      <c r="E17" s="20"/>
    </row>
    <row r="18" spans="1:5" x14ac:dyDescent="0.25">
      <c r="A18" s="23">
        <v>0.06</v>
      </c>
      <c r="B18" s="14">
        <f>(B15/A18)</f>
        <v>817.5</v>
      </c>
      <c r="C18" s="8">
        <f>(D15/B18)</f>
        <v>0.29174923547400611</v>
      </c>
      <c r="E18" s="20"/>
    </row>
    <row r="19" spans="1:5" x14ac:dyDescent="0.25">
      <c r="A19" s="23">
        <v>5.5E-2</v>
      </c>
      <c r="B19" s="14">
        <f>(B15/A19)</f>
        <v>891.81818181818176</v>
      </c>
      <c r="C19" s="8">
        <f>(D15/B19)</f>
        <v>0.26743679918450564</v>
      </c>
      <c r="E19" s="20"/>
    </row>
    <row r="20" spans="1:5" x14ac:dyDescent="0.25">
      <c r="A20" s="23">
        <v>0.05</v>
      </c>
      <c r="B20" s="14">
        <f>(B15/A20)</f>
        <v>980.99999999999989</v>
      </c>
      <c r="C20" s="8">
        <f>(D15/B20)</f>
        <v>0.24312436289500511</v>
      </c>
      <c r="E20" s="20"/>
    </row>
    <row r="21" spans="1:5" ht="15.75" thickBot="1" x14ac:dyDescent="0.3">
      <c r="A21" s="24">
        <v>4.4999999999999998E-2</v>
      </c>
      <c r="B21" s="34">
        <f>(B15/A21)</f>
        <v>1090</v>
      </c>
      <c r="C21" s="26">
        <f>(D15/B21)</f>
        <v>0.21881192660550458</v>
      </c>
      <c r="D21" s="27"/>
      <c r="E21" s="28"/>
    </row>
  </sheetData>
  <mergeCells count="2">
    <mergeCell ref="B16:D16"/>
    <mergeCell ref="A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A1F2-B630-4DF6-A0E6-A418F2CD8A6B}">
  <dimension ref="A1:H22"/>
  <sheetViews>
    <sheetView workbookViewId="0">
      <selection activeCell="J11" sqref="J11"/>
    </sheetView>
  </sheetViews>
  <sheetFormatPr defaultRowHeight="15" x14ac:dyDescent="0.25"/>
  <cols>
    <col min="1" max="1" width="26" bestFit="1" customWidth="1"/>
    <col min="2" max="2" width="12.85546875" bestFit="1" customWidth="1"/>
    <col min="3" max="3" width="11.5703125" bestFit="1" customWidth="1"/>
    <col min="4" max="4" width="10" bestFit="1" customWidth="1"/>
  </cols>
  <sheetData>
    <row r="1" spans="1:8" ht="21" x14ac:dyDescent="0.35">
      <c r="A1" s="38" t="s">
        <v>20</v>
      </c>
      <c r="B1" s="39"/>
      <c r="C1" s="39"/>
      <c r="D1" s="39"/>
      <c r="E1" s="40"/>
    </row>
    <row r="2" spans="1:8" x14ac:dyDescent="0.25">
      <c r="A2" s="15" t="s">
        <v>0</v>
      </c>
      <c r="B2" s="1" t="s">
        <v>1</v>
      </c>
      <c r="C2" s="1" t="s">
        <v>2</v>
      </c>
      <c r="D2" s="1" t="s">
        <v>3</v>
      </c>
      <c r="E2" s="16"/>
    </row>
    <row r="3" spans="1:8" x14ac:dyDescent="0.25">
      <c r="A3" s="17" t="s">
        <v>4</v>
      </c>
      <c r="B3" s="64">
        <v>10</v>
      </c>
      <c r="C3" s="60">
        <v>2.6</v>
      </c>
      <c r="D3" s="61">
        <f>(B3*C3)</f>
        <v>26</v>
      </c>
      <c r="E3" s="62">
        <f t="shared" ref="E3:E13" si="0">(B3/1000)*100</f>
        <v>1</v>
      </c>
    </row>
    <row r="4" spans="1:8" x14ac:dyDescent="0.25">
      <c r="A4" s="17" t="s">
        <v>20</v>
      </c>
      <c r="B4" s="64">
        <v>1</v>
      </c>
      <c r="C4" s="60">
        <v>40</v>
      </c>
      <c r="D4" s="61">
        <f t="shared" ref="D4:D13" si="1">(B4*C4)</f>
        <v>40</v>
      </c>
      <c r="E4" s="62">
        <f t="shared" si="0"/>
        <v>0.1</v>
      </c>
    </row>
    <row r="5" spans="1:8" x14ac:dyDescent="0.25">
      <c r="A5" s="17" t="s">
        <v>5</v>
      </c>
      <c r="B5" s="64">
        <v>0.16</v>
      </c>
      <c r="C5" s="60">
        <v>0.5</v>
      </c>
      <c r="D5" s="61">
        <f t="shared" si="1"/>
        <v>0.08</v>
      </c>
      <c r="E5" s="62">
        <f t="shared" si="0"/>
        <v>1.6E-2</v>
      </c>
    </row>
    <row r="6" spans="1:8" x14ac:dyDescent="0.25">
      <c r="A6" s="17" t="s">
        <v>6</v>
      </c>
      <c r="B6" s="65">
        <v>2.5000000000000001E-2</v>
      </c>
      <c r="C6" s="60">
        <v>65.099999999999994</v>
      </c>
      <c r="D6" s="61">
        <f t="shared" si="1"/>
        <v>1.6274999999999999</v>
      </c>
      <c r="E6" s="63">
        <f t="shared" si="0"/>
        <v>2.5000000000000001E-3</v>
      </c>
    </row>
    <row r="7" spans="1:8" x14ac:dyDescent="0.25">
      <c r="A7" s="17" t="s">
        <v>7</v>
      </c>
      <c r="B7" s="64">
        <v>1.7</v>
      </c>
      <c r="C7" s="60">
        <v>2</v>
      </c>
      <c r="D7" s="61">
        <f t="shared" si="1"/>
        <v>3.4</v>
      </c>
      <c r="E7" s="62">
        <f t="shared" si="0"/>
        <v>0.16999999999999998</v>
      </c>
    </row>
    <row r="8" spans="1:8" x14ac:dyDescent="0.25">
      <c r="A8" s="17" t="s">
        <v>8</v>
      </c>
      <c r="B8" s="64">
        <v>0</v>
      </c>
      <c r="C8" s="60">
        <v>6.34</v>
      </c>
      <c r="D8" s="61">
        <f t="shared" si="1"/>
        <v>0</v>
      </c>
      <c r="E8" s="62">
        <f t="shared" si="0"/>
        <v>0</v>
      </c>
    </row>
    <row r="9" spans="1:8" x14ac:dyDescent="0.25">
      <c r="A9" s="17" t="s">
        <v>9</v>
      </c>
      <c r="B9" s="65">
        <v>0</v>
      </c>
      <c r="C9" s="60">
        <v>0</v>
      </c>
      <c r="D9" s="61">
        <f t="shared" si="1"/>
        <v>0</v>
      </c>
      <c r="E9" s="62">
        <f t="shared" si="0"/>
        <v>0</v>
      </c>
    </row>
    <row r="10" spans="1:8" x14ac:dyDescent="0.25">
      <c r="A10" s="17" t="s">
        <v>10</v>
      </c>
      <c r="B10" s="64">
        <v>0.5</v>
      </c>
      <c r="C10" s="60">
        <v>8.5</v>
      </c>
      <c r="D10" s="61">
        <f t="shared" si="1"/>
        <v>4.25</v>
      </c>
      <c r="E10" s="62">
        <f t="shared" si="0"/>
        <v>0.05</v>
      </c>
    </row>
    <row r="11" spans="1:8" x14ac:dyDescent="0.25">
      <c r="A11" s="17" t="s">
        <v>11</v>
      </c>
      <c r="B11" s="64">
        <v>0.25</v>
      </c>
      <c r="C11" s="60">
        <v>4</v>
      </c>
      <c r="D11" s="61">
        <f t="shared" si="1"/>
        <v>1</v>
      </c>
      <c r="E11" s="62">
        <f t="shared" si="0"/>
        <v>2.5000000000000001E-2</v>
      </c>
    </row>
    <row r="12" spans="1:8" x14ac:dyDescent="0.25">
      <c r="A12" s="17" t="s">
        <v>19</v>
      </c>
      <c r="B12" s="64">
        <v>0.75</v>
      </c>
      <c r="C12" s="60">
        <v>14</v>
      </c>
      <c r="D12" s="61">
        <f t="shared" si="1"/>
        <v>10.5</v>
      </c>
      <c r="E12" s="62">
        <f t="shared" si="0"/>
        <v>7.4999999999999997E-2</v>
      </c>
    </row>
    <row r="13" spans="1:8" x14ac:dyDescent="0.25">
      <c r="A13" s="17" t="s">
        <v>12</v>
      </c>
      <c r="B13" s="64">
        <v>4.5</v>
      </c>
      <c r="C13" s="60">
        <v>0</v>
      </c>
      <c r="D13" s="61">
        <f t="shared" si="1"/>
        <v>0</v>
      </c>
      <c r="E13" s="62">
        <f t="shared" si="0"/>
        <v>0.44999999999999996</v>
      </c>
    </row>
    <row r="14" spans="1:8" ht="21" x14ac:dyDescent="0.25">
      <c r="A14" s="17"/>
      <c r="B14" s="4">
        <f>SUM(B3:B13)</f>
        <v>18.884999999999998</v>
      </c>
      <c r="C14" s="5">
        <f>SUM(C3:C13)</f>
        <v>143.04</v>
      </c>
      <c r="D14" s="5">
        <f>SUM(D3:D13)</f>
        <v>86.857500000000002</v>
      </c>
      <c r="E14" s="20"/>
    </row>
    <row r="15" spans="1:8" ht="21" x14ac:dyDescent="0.3">
      <c r="A15" s="56" t="s">
        <v>13</v>
      </c>
      <c r="B15" s="53">
        <f>(D14/B14)</f>
        <v>4.5992851469420177</v>
      </c>
      <c r="C15" s="54"/>
      <c r="D15" s="55"/>
      <c r="E15" s="20"/>
      <c r="H15" s="57"/>
    </row>
    <row r="16" spans="1:8" x14ac:dyDescent="0.25">
      <c r="A16" s="22" t="s">
        <v>14</v>
      </c>
      <c r="B16" s="6" t="s">
        <v>15</v>
      </c>
      <c r="C16" s="1" t="s">
        <v>16</v>
      </c>
      <c r="E16" s="20"/>
    </row>
    <row r="17" spans="1:5" x14ac:dyDescent="0.25">
      <c r="A17" s="50">
        <v>0.08</v>
      </c>
      <c r="B17" s="47">
        <f>(B14/A17)</f>
        <v>236.06249999999997</v>
      </c>
      <c r="C17" s="58">
        <f>(D14/B17)</f>
        <v>0.36794281175536148</v>
      </c>
      <c r="E17" s="20"/>
    </row>
    <row r="18" spans="1:5" x14ac:dyDescent="0.25">
      <c r="A18" s="50">
        <v>7.0000000000000007E-2</v>
      </c>
      <c r="B18" s="47">
        <f>(B14/A18)</f>
        <v>269.78571428571422</v>
      </c>
      <c r="C18" s="58">
        <f>(D14/B18)</f>
        <v>0.32194996028594131</v>
      </c>
      <c r="E18" s="20"/>
    </row>
    <row r="19" spans="1:5" x14ac:dyDescent="0.25">
      <c r="A19" s="51">
        <v>0.06</v>
      </c>
      <c r="B19" s="7">
        <f>(B14/A19)</f>
        <v>314.75</v>
      </c>
      <c r="C19" s="48">
        <f>(D14/B19)</f>
        <v>0.27595710881652108</v>
      </c>
      <c r="E19" s="20"/>
    </row>
    <row r="20" spans="1:5" x14ac:dyDescent="0.25">
      <c r="A20" s="51">
        <v>5.5E-2</v>
      </c>
      <c r="B20" s="7">
        <f>(B14/A20)</f>
        <v>343.36363636363632</v>
      </c>
      <c r="C20" s="48">
        <f>(D14/B20)</f>
        <v>0.25296068308181102</v>
      </c>
      <c r="E20" s="20"/>
    </row>
    <row r="21" spans="1:5" x14ac:dyDescent="0.25">
      <c r="A21" s="51">
        <v>0.05</v>
      </c>
      <c r="B21" s="7">
        <f>(B14/A21)</f>
        <v>377.69999999999993</v>
      </c>
      <c r="C21" s="48">
        <f>(D14/B21)</f>
        <v>0.22996425734710091</v>
      </c>
      <c r="E21" s="20"/>
    </row>
    <row r="22" spans="1:5" ht="15.75" thickBot="1" x14ac:dyDescent="0.3">
      <c r="A22" s="52">
        <v>4.4999999999999998E-2</v>
      </c>
      <c r="B22" s="25">
        <f>(B14/A22)</f>
        <v>419.66666666666663</v>
      </c>
      <c r="C22" s="49">
        <f>(D14/B22)</f>
        <v>0.2069678316123908</v>
      </c>
      <c r="D22" s="27"/>
      <c r="E22" s="28"/>
    </row>
  </sheetData>
  <mergeCells count="2">
    <mergeCell ref="B15:D15"/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2BD5-2DEB-488A-A7D3-136C7CC5AACF}">
  <dimension ref="A1:E22"/>
  <sheetViews>
    <sheetView workbookViewId="0">
      <selection activeCell="E22" sqref="A1:E22"/>
    </sheetView>
  </sheetViews>
  <sheetFormatPr defaultRowHeight="15" x14ac:dyDescent="0.25"/>
  <cols>
    <col min="1" max="1" width="26" bestFit="1" customWidth="1"/>
    <col min="2" max="2" width="12.85546875" bestFit="1" customWidth="1"/>
    <col min="3" max="4" width="11.5703125" bestFit="1" customWidth="1"/>
    <col min="5" max="5" width="6.140625" bestFit="1" customWidth="1"/>
  </cols>
  <sheetData>
    <row r="1" spans="1:5" ht="21" x14ac:dyDescent="0.35">
      <c r="A1" s="38" t="s">
        <v>21</v>
      </c>
      <c r="B1" s="39"/>
      <c r="C1" s="39"/>
      <c r="D1" s="39"/>
      <c r="E1" s="40"/>
    </row>
    <row r="2" spans="1:5" x14ac:dyDescent="0.25">
      <c r="A2" s="15" t="s">
        <v>0</v>
      </c>
      <c r="B2" s="1" t="s">
        <v>1</v>
      </c>
      <c r="C2" s="1" t="s">
        <v>2</v>
      </c>
      <c r="D2" s="1" t="s">
        <v>3</v>
      </c>
      <c r="E2" s="16"/>
    </row>
    <row r="3" spans="1:5" x14ac:dyDescent="0.25">
      <c r="A3" s="17" t="s">
        <v>4</v>
      </c>
      <c r="B3" s="2">
        <v>2</v>
      </c>
      <c r="C3" s="3">
        <v>3.5</v>
      </c>
      <c r="D3" s="3">
        <f>(B3*C3)</f>
        <v>7</v>
      </c>
      <c r="E3" s="18"/>
    </row>
    <row r="4" spans="1:5" x14ac:dyDescent="0.25">
      <c r="A4" s="17" t="s">
        <v>22</v>
      </c>
      <c r="B4" s="2">
        <v>2</v>
      </c>
      <c r="C4" s="3">
        <v>35</v>
      </c>
      <c r="D4" s="3">
        <f t="shared" ref="D4:D13" si="0">(B4*C4)</f>
        <v>70</v>
      </c>
      <c r="E4" s="18"/>
    </row>
    <row r="5" spans="1:5" x14ac:dyDescent="0.25">
      <c r="A5" s="17" t="s">
        <v>5</v>
      </c>
      <c r="B5" s="2">
        <v>0</v>
      </c>
      <c r="C5" s="3">
        <v>0</v>
      </c>
      <c r="D5" s="3">
        <f t="shared" si="0"/>
        <v>0</v>
      </c>
      <c r="E5" s="18"/>
    </row>
    <row r="6" spans="1:5" x14ac:dyDescent="0.25">
      <c r="A6" s="17" t="s">
        <v>6</v>
      </c>
      <c r="B6" s="2">
        <v>0</v>
      </c>
      <c r="C6" s="3">
        <v>65.099999999999994</v>
      </c>
      <c r="D6" s="3">
        <f t="shared" si="0"/>
        <v>0</v>
      </c>
      <c r="E6" s="19"/>
    </row>
    <row r="7" spans="1:5" x14ac:dyDescent="0.25">
      <c r="A7" s="17" t="s">
        <v>7</v>
      </c>
      <c r="B7" s="2">
        <v>0</v>
      </c>
      <c r="C7" s="3">
        <v>2</v>
      </c>
      <c r="D7" s="3">
        <f t="shared" si="0"/>
        <v>0</v>
      </c>
      <c r="E7" s="18"/>
    </row>
    <row r="8" spans="1:5" x14ac:dyDescent="0.25">
      <c r="A8" s="17" t="s">
        <v>8</v>
      </c>
      <c r="B8" s="2">
        <v>0</v>
      </c>
      <c r="C8" s="3">
        <v>6.34</v>
      </c>
      <c r="D8" s="3">
        <f t="shared" si="0"/>
        <v>0</v>
      </c>
      <c r="E8" s="18"/>
    </row>
    <row r="9" spans="1:5" x14ac:dyDescent="0.25">
      <c r="A9" s="17" t="s">
        <v>9</v>
      </c>
      <c r="B9" s="2">
        <v>0</v>
      </c>
      <c r="C9" s="3">
        <v>0</v>
      </c>
      <c r="D9" s="3">
        <f t="shared" si="0"/>
        <v>0</v>
      </c>
      <c r="E9" s="18"/>
    </row>
    <row r="10" spans="1:5" x14ac:dyDescent="0.25">
      <c r="A10" s="17" t="s">
        <v>10</v>
      </c>
      <c r="B10" s="2">
        <v>0</v>
      </c>
      <c r="C10" s="3">
        <v>8.5</v>
      </c>
      <c r="D10" s="3">
        <f t="shared" si="0"/>
        <v>0</v>
      </c>
      <c r="E10" s="18"/>
    </row>
    <row r="11" spans="1:5" x14ac:dyDescent="0.25">
      <c r="A11" s="17" t="s">
        <v>23</v>
      </c>
      <c r="B11" s="2">
        <v>0.25</v>
      </c>
      <c r="C11" s="3">
        <v>7.5</v>
      </c>
      <c r="D11" s="3">
        <f t="shared" si="0"/>
        <v>1.875</v>
      </c>
      <c r="E11" s="18"/>
    </row>
    <row r="12" spans="1:5" x14ac:dyDescent="0.25">
      <c r="A12" s="17" t="s">
        <v>24</v>
      </c>
      <c r="B12" s="2">
        <v>0.09</v>
      </c>
      <c r="C12" s="3">
        <v>19</v>
      </c>
      <c r="D12" s="3">
        <f t="shared" si="0"/>
        <v>1.71</v>
      </c>
      <c r="E12" s="18"/>
    </row>
    <row r="13" spans="1:5" x14ac:dyDescent="0.25">
      <c r="A13" s="17" t="s">
        <v>12</v>
      </c>
      <c r="B13" s="2">
        <v>2.5</v>
      </c>
      <c r="C13" s="3">
        <v>0</v>
      </c>
      <c r="D13" s="3">
        <f t="shared" si="0"/>
        <v>0</v>
      </c>
      <c r="E13" s="18"/>
    </row>
    <row r="14" spans="1:5" ht="21" x14ac:dyDescent="0.25">
      <c r="A14" s="17"/>
      <c r="B14" s="4">
        <f>SUM(B3:B13)</f>
        <v>6.84</v>
      </c>
      <c r="C14" s="5">
        <f>SUM(C3:C13)</f>
        <v>146.94</v>
      </c>
      <c r="D14" s="5">
        <f>SUM(D3:D13)</f>
        <v>80.584999999999994</v>
      </c>
      <c r="E14" s="20"/>
    </row>
    <row r="15" spans="1:5" ht="21" x14ac:dyDescent="0.3">
      <c r="A15" s="21" t="s">
        <v>13</v>
      </c>
      <c r="B15" s="35">
        <f>(D14/B14)</f>
        <v>11.781432748538011</v>
      </c>
      <c r="C15" s="36"/>
      <c r="D15" s="37"/>
      <c r="E15" s="20"/>
    </row>
    <row r="16" spans="1:5" x14ac:dyDescent="0.25">
      <c r="A16" s="22" t="s">
        <v>14</v>
      </c>
      <c r="B16" s="6" t="s">
        <v>15</v>
      </c>
      <c r="C16" s="1" t="s">
        <v>16</v>
      </c>
      <c r="D16" s="59"/>
      <c r="E16" s="20"/>
    </row>
    <row r="17" spans="1:5" x14ac:dyDescent="0.25">
      <c r="A17" s="50">
        <v>0.08</v>
      </c>
      <c r="B17" s="47">
        <f>(B14/A17)</f>
        <v>85.5</v>
      </c>
      <c r="C17" s="58">
        <f>(D14/B17)</f>
        <v>0.94251461988304086</v>
      </c>
      <c r="D17" s="59"/>
      <c r="E17" s="20"/>
    </row>
    <row r="18" spans="1:5" x14ac:dyDescent="0.25">
      <c r="A18" s="50">
        <v>7.0000000000000007E-2</v>
      </c>
      <c r="B18" s="47">
        <f>(B14/A18)</f>
        <v>97.714285714285708</v>
      </c>
      <c r="C18" s="58">
        <f>(D14/B18)</f>
        <v>0.82470029239766085</v>
      </c>
      <c r="D18" s="59"/>
      <c r="E18" s="20"/>
    </row>
    <row r="19" spans="1:5" x14ac:dyDescent="0.25">
      <c r="A19" s="51">
        <v>0.06</v>
      </c>
      <c r="B19" s="7">
        <f>(B14/A19)</f>
        <v>114</v>
      </c>
      <c r="C19" s="48">
        <f>(D14/B19)</f>
        <v>0.70688596491228062</v>
      </c>
      <c r="D19" s="59"/>
      <c r="E19" s="20"/>
    </row>
    <row r="20" spans="1:5" x14ac:dyDescent="0.25">
      <c r="A20" s="51">
        <v>5.5E-2</v>
      </c>
      <c r="B20" s="7">
        <f>(B14/A20)</f>
        <v>124.36363636363636</v>
      </c>
      <c r="C20" s="48">
        <f>(D14/B20)</f>
        <v>0.64797880116959061</v>
      </c>
      <c r="D20" s="59"/>
      <c r="E20" s="20"/>
    </row>
    <row r="21" spans="1:5" x14ac:dyDescent="0.25">
      <c r="A21" s="51">
        <v>0.05</v>
      </c>
      <c r="B21" s="7">
        <f>(B14/A21)</f>
        <v>136.79999999999998</v>
      </c>
      <c r="C21" s="48">
        <f>(D14/B21)</f>
        <v>0.58907163742690061</v>
      </c>
      <c r="D21" s="59"/>
      <c r="E21" s="20"/>
    </row>
    <row r="22" spans="1:5" ht="15.75" thickBot="1" x14ac:dyDescent="0.3">
      <c r="A22" s="52">
        <v>4.4999999999999998E-2</v>
      </c>
      <c r="B22" s="25">
        <f>(B14/A22)</f>
        <v>152</v>
      </c>
      <c r="C22" s="49">
        <f>(D14/B22)</f>
        <v>0.53016447368421049</v>
      </c>
      <c r="D22" s="27"/>
      <c r="E22" s="28"/>
    </row>
  </sheetData>
  <mergeCells count="2">
    <mergeCell ref="A1:E1"/>
    <mergeCell ref="B15:D1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8F69-FA1A-4421-A61C-E2242E0B92D8}">
  <dimension ref="A1:E22"/>
  <sheetViews>
    <sheetView tabSelected="1" workbookViewId="0">
      <selection activeCell="C4" sqref="C4"/>
    </sheetView>
  </sheetViews>
  <sheetFormatPr defaultRowHeight="15" x14ac:dyDescent="0.25"/>
  <cols>
    <col min="1" max="1" width="26" bestFit="1" customWidth="1"/>
    <col min="3" max="4" width="11.5703125" bestFit="1" customWidth="1"/>
  </cols>
  <sheetData>
    <row r="1" spans="1:5" ht="21" x14ac:dyDescent="0.35">
      <c r="A1" s="38" t="s">
        <v>25</v>
      </c>
      <c r="B1" s="39"/>
      <c r="C1" s="39"/>
      <c r="D1" s="39"/>
      <c r="E1" s="40"/>
    </row>
    <row r="2" spans="1:5" x14ac:dyDescent="0.25">
      <c r="A2" s="15" t="s">
        <v>0</v>
      </c>
      <c r="B2" s="1" t="s">
        <v>1</v>
      </c>
      <c r="C2" s="1" t="s">
        <v>2</v>
      </c>
      <c r="D2" s="1" t="s">
        <v>3</v>
      </c>
      <c r="E2" s="16"/>
    </row>
    <row r="3" spans="1:5" x14ac:dyDescent="0.25">
      <c r="A3" s="17" t="s">
        <v>4</v>
      </c>
      <c r="B3" s="2">
        <v>5</v>
      </c>
      <c r="C3" s="3">
        <v>2.6</v>
      </c>
      <c r="D3" s="3">
        <f>(B3*C3)</f>
        <v>13</v>
      </c>
      <c r="E3" s="18"/>
    </row>
    <row r="4" spans="1:5" x14ac:dyDescent="0.25">
      <c r="A4" s="17" t="s">
        <v>22</v>
      </c>
      <c r="B4" s="2">
        <v>5</v>
      </c>
      <c r="C4" s="3">
        <v>25</v>
      </c>
      <c r="D4" s="3">
        <f t="shared" ref="D4:D13" si="0">(B4*C4)</f>
        <v>125</v>
      </c>
      <c r="E4" s="18"/>
    </row>
    <row r="5" spans="1:5" x14ac:dyDescent="0.25">
      <c r="A5" s="17" t="s">
        <v>5</v>
      </c>
      <c r="B5" s="2">
        <v>0</v>
      </c>
      <c r="C5" s="3">
        <v>0</v>
      </c>
      <c r="D5" s="3">
        <f t="shared" si="0"/>
        <v>0</v>
      </c>
      <c r="E5" s="18"/>
    </row>
    <row r="6" spans="1:5" x14ac:dyDescent="0.25">
      <c r="A6" s="17" t="s">
        <v>6</v>
      </c>
      <c r="B6" s="2">
        <v>0</v>
      </c>
      <c r="C6" s="3">
        <v>0</v>
      </c>
      <c r="D6" s="3">
        <f t="shared" si="0"/>
        <v>0</v>
      </c>
      <c r="E6" s="19"/>
    </row>
    <row r="7" spans="1:5" x14ac:dyDescent="0.25">
      <c r="A7" s="17" t="s">
        <v>7</v>
      </c>
      <c r="B7" s="2">
        <v>0</v>
      </c>
      <c r="C7" s="3">
        <v>0</v>
      </c>
      <c r="D7" s="3">
        <f t="shared" si="0"/>
        <v>0</v>
      </c>
      <c r="E7" s="18"/>
    </row>
    <row r="8" spans="1:5" x14ac:dyDescent="0.25">
      <c r="A8" s="17" t="s">
        <v>8</v>
      </c>
      <c r="B8" s="2">
        <v>0</v>
      </c>
      <c r="C8" s="3">
        <v>0</v>
      </c>
      <c r="D8" s="3">
        <f t="shared" si="0"/>
        <v>0</v>
      </c>
      <c r="E8" s="18"/>
    </row>
    <row r="9" spans="1:5" x14ac:dyDescent="0.25">
      <c r="A9" s="17" t="s">
        <v>9</v>
      </c>
      <c r="B9" s="2">
        <v>0</v>
      </c>
      <c r="C9" s="3">
        <v>0</v>
      </c>
      <c r="D9" s="3">
        <f t="shared" si="0"/>
        <v>0</v>
      </c>
      <c r="E9" s="18"/>
    </row>
    <row r="10" spans="1:5" x14ac:dyDescent="0.25">
      <c r="A10" s="17" t="s">
        <v>10</v>
      </c>
      <c r="B10" s="2">
        <v>0</v>
      </c>
      <c r="C10" s="3">
        <v>0</v>
      </c>
      <c r="D10" s="3">
        <f t="shared" si="0"/>
        <v>0</v>
      </c>
      <c r="E10" s="18"/>
    </row>
    <row r="11" spans="1:5" x14ac:dyDescent="0.25">
      <c r="A11" s="17" t="s">
        <v>23</v>
      </c>
      <c r="B11" s="2">
        <v>0</v>
      </c>
      <c r="C11" s="3">
        <v>0</v>
      </c>
      <c r="D11" s="3">
        <f t="shared" si="0"/>
        <v>0</v>
      </c>
      <c r="E11" s="18"/>
    </row>
    <row r="12" spans="1:5" x14ac:dyDescent="0.25">
      <c r="A12" s="17" t="s">
        <v>24</v>
      </c>
      <c r="B12" s="2">
        <v>0.16</v>
      </c>
      <c r="C12" s="3">
        <v>18</v>
      </c>
      <c r="D12" s="3">
        <f t="shared" si="0"/>
        <v>2.88</v>
      </c>
      <c r="E12" s="18"/>
    </row>
    <row r="13" spans="1:5" x14ac:dyDescent="0.25">
      <c r="A13" s="17" t="s">
        <v>12</v>
      </c>
      <c r="B13" s="2">
        <v>4</v>
      </c>
      <c r="C13" s="3">
        <v>0</v>
      </c>
      <c r="D13" s="3">
        <f t="shared" si="0"/>
        <v>0</v>
      </c>
      <c r="E13" s="18"/>
    </row>
    <row r="14" spans="1:5" ht="21" x14ac:dyDescent="0.25">
      <c r="A14" s="17"/>
      <c r="B14" s="4">
        <f>SUM(B3:B13)</f>
        <v>14.16</v>
      </c>
      <c r="C14" s="5">
        <f>SUM(C3:C13)</f>
        <v>45.6</v>
      </c>
      <c r="D14" s="5">
        <f>SUM(D3:D13)</f>
        <v>140.88</v>
      </c>
      <c r="E14" s="20"/>
    </row>
    <row r="15" spans="1:5" ht="21" x14ac:dyDescent="0.3">
      <c r="A15" s="21" t="s">
        <v>13</v>
      </c>
      <c r="B15" s="35">
        <f>(D14/B14)</f>
        <v>9.9491525423728806</v>
      </c>
      <c r="C15" s="36"/>
      <c r="D15" s="37"/>
      <c r="E15" s="20"/>
    </row>
    <row r="16" spans="1:5" x14ac:dyDescent="0.25">
      <c r="A16" s="22" t="s">
        <v>14</v>
      </c>
      <c r="B16" s="6" t="s">
        <v>15</v>
      </c>
      <c r="C16" s="1" t="s">
        <v>16</v>
      </c>
      <c r="D16" s="59"/>
      <c r="E16" s="20"/>
    </row>
    <row r="17" spans="1:5" x14ac:dyDescent="0.25">
      <c r="A17" s="50">
        <v>0.08</v>
      </c>
      <c r="B17" s="47">
        <f>(B14/A17)</f>
        <v>177</v>
      </c>
      <c r="C17" s="58">
        <f>(D14/B17)</f>
        <v>0.79593220338983051</v>
      </c>
      <c r="D17" s="59"/>
      <c r="E17" s="20"/>
    </row>
    <row r="18" spans="1:5" x14ac:dyDescent="0.25">
      <c r="A18" s="50">
        <v>7.0000000000000007E-2</v>
      </c>
      <c r="B18" s="47">
        <f>(B14/A18)</f>
        <v>202.28571428571428</v>
      </c>
      <c r="C18" s="58">
        <f>(D14/B18)</f>
        <v>0.69644067796610165</v>
      </c>
      <c r="D18" s="59"/>
      <c r="E18" s="20"/>
    </row>
    <row r="19" spans="1:5" x14ac:dyDescent="0.25">
      <c r="A19" s="51">
        <v>0.06</v>
      </c>
      <c r="B19" s="7">
        <f>(B14/A19)</f>
        <v>236</v>
      </c>
      <c r="C19" s="48">
        <f>(D14/B19)</f>
        <v>0.59694915254237291</v>
      </c>
      <c r="D19" s="59"/>
      <c r="E19" s="20"/>
    </row>
    <row r="20" spans="1:5" x14ac:dyDescent="0.25">
      <c r="A20" s="51">
        <v>5.5E-2</v>
      </c>
      <c r="B20" s="7">
        <f>(B14/A20)</f>
        <v>257.45454545454544</v>
      </c>
      <c r="C20" s="48">
        <f>(D14/B20)</f>
        <v>0.54720338983050854</v>
      </c>
      <c r="D20" s="59"/>
      <c r="E20" s="20"/>
    </row>
    <row r="21" spans="1:5" x14ac:dyDescent="0.25">
      <c r="A21" s="51">
        <v>0.05</v>
      </c>
      <c r="B21" s="7">
        <f>(B14/A21)</f>
        <v>283.2</v>
      </c>
      <c r="C21" s="48">
        <f>(D14/B21)</f>
        <v>0.49745762711864405</v>
      </c>
      <c r="D21" s="59"/>
      <c r="E21" s="20"/>
    </row>
    <row r="22" spans="1:5" ht="15.75" thickBot="1" x14ac:dyDescent="0.3">
      <c r="A22" s="52">
        <v>4.4999999999999998E-2</v>
      </c>
      <c r="B22" s="25">
        <f>(B14/A22)</f>
        <v>314.66666666666669</v>
      </c>
      <c r="C22" s="49">
        <f>(D14/B22)</f>
        <v>0.44771186440677962</v>
      </c>
      <c r="D22" s="27"/>
      <c r="E22" s="28"/>
    </row>
  </sheetData>
  <mergeCells count="2">
    <mergeCell ref="A1:E1"/>
    <mergeCell ref="B15:D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BRIOCHE C20</vt:lpstr>
      <vt:lpstr>FORMA D10</vt:lpstr>
      <vt:lpstr>BATATA C50</vt:lpstr>
      <vt:lpstr>TOP MACIO C50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kenedy william</dc:creator>
  <cp:lastModifiedBy>kenedy william</cp:lastModifiedBy>
  <dcterms:created xsi:type="dcterms:W3CDTF">2026-04-13T11:46:10Z</dcterms:created>
  <dcterms:modified xsi:type="dcterms:W3CDTF">2026-06-23T13:23:15Z</dcterms:modified>
</cp:coreProperties>
</file>